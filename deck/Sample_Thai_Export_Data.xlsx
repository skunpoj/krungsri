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ข้อมูลส่งออก" sheetId="1" state="visible" r:id="rId3"/>
    <sheet name="สรุปตามตลาด" sheetId="2" state="visible" r:id="rId4"/>
    <sheet name="คำอธิบาย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<sst xmlns="http://schemas.openxmlformats.org/spreadsheetml/2006/main" count="536" uniqueCount="77">
  <si>
    <t xml:space="preserve">เดือน</t>
  </si>
  <si>
    <t xml:space="preserve">สินค้า</t>
  </si>
  <si>
    <t xml:space="preserve">HS Code</t>
  </si>
  <si>
    <t xml:space="preserve">ประเทศปลายทาง</t>
  </si>
  <si>
    <t xml:space="preserve">ภูมิภาค</t>
  </si>
  <si>
    <t xml:space="preserve">จำนวน (กก.)</t>
  </si>
  <si>
    <t xml:space="preserve">มูลค่า (USD)</t>
  </si>
  <si>
    <t xml:space="preserve">Incoterms</t>
  </si>
  <si>
    <t xml:space="preserve">ผู้ซื้อ</t>
  </si>
  <si>
    <t xml:space="preserve">2025-01</t>
  </si>
  <si>
    <t xml:space="preserve">ชิ้นส่วนยานยนต์</t>
  </si>
  <si>
    <t xml:space="preserve">8708.99</t>
  </si>
  <si>
    <t xml:space="preserve">ญี่ปุ่น</t>
  </si>
  <si>
    <t xml:space="preserve">เอเชีย</t>
  </si>
  <si>
    <t xml:space="preserve">FOB Bangkok</t>
  </si>
  <si>
    <t xml:space="preserve">Tokyo Import KK</t>
  </si>
  <si>
    <t xml:space="preserve">เวียดนาม</t>
  </si>
  <si>
    <t xml:space="preserve">อาเซียน</t>
  </si>
  <si>
    <t xml:space="preserve">CIF</t>
  </si>
  <si>
    <t xml:space="preserve">Saigon Distributors</t>
  </si>
  <si>
    <t xml:space="preserve">ถุงมือยางทางการแพทย์</t>
  </si>
  <si>
    <t xml:space="preserve">4015.12</t>
  </si>
  <si>
    <t xml:space="preserve">สหรัฐอเมริกา</t>
  </si>
  <si>
    <t xml:space="preserve">อเมริกาเหนือ</t>
  </si>
  <si>
    <t xml:space="preserve">FOB Laem Chabang</t>
  </si>
  <si>
    <t xml:space="preserve">Pacific Foods Inc.</t>
  </si>
  <si>
    <t xml:space="preserve">สหรัฐอาหรับเอมิเรตส์</t>
  </si>
  <si>
    <t xml:space="preserve">ตะวันออกกลาง</t>
  </si>
  <si>
    <t xml:space="preserve">Gulf Source LLC</t>
  </si>
  <si>
    <t xml:space="preserve">2025-02</t>
  </si>
  <si>
    <t xml:space="preserve">ข้าวหอมมะลิ 100%</t>
  </si>
  <si>
    <t xml:space="preserve">1006.30</t>
  </si>
  <si>
    <t xml:space="preserve">เกาหลีใต้</t>
  </si>
  <si>
    <t xml:space="preserve">Seoul Mart Co.</t>
  </si>
  <si>
    <t xml:space="preserve">สับปะรดกระป๋อง</t>
  </si>
  <si>
    <t xml:space="preserve">2008.20</t>
  </si>
  <si>
    <t xml:space="preserve">2025-03</t>
  </si>
  <si>
    <t xml:space="preserve">จีน</t>
  </si>
  <si>
    <t xml:space="preserve">Shanghai Trade Co.</t>
  </si>
  <si>
    <t xml:space="preserve">แป้งมันสำปะหลัง</t>
  </si>
  <si>
    <t xml:space="preserve">1108.14</t>
  </si>
  <si>
    <t xml:space="preserve">เยอรมนี</t>
  </si>
  <si>
    <t xml:space="preserve">ยุโรป</t>
  </si>
  <si>
    <t xml:space="preserve">EuroFood GmbH</t>
  </si>
  <si>
    <t xml:space="preserve">อินเดีย</t>
  </si>
  <si>
    <t xml:space="preserve">Mumbai Traders Pvt</t>
  </si>
  <si>
    <t xml:space="preserve">2025-04</t>
  </si>
  <si>
    <t xml:space="preserve">เนเธอร์แลนด์</t>
  </si>
  <si>
    <t xml:space="preserve">Rotterdam B.V.</t>
  </si>
  <si>
    <t xml:space="preserve">2025-05</t>
  </si>
  <si>
    <t xml:space="preserve">2025-06</t>
  </si>
  <si>
    <t xml:space="preserve">2025-07</t>
  </si>
  <si>
    <t xml:space="preserve">2025-08</t>
  </si>
  <si>
    <t xml:space="preserve">ออสเตรเลีย</t>
  </si>
  <si>
    <t xml:space="preserve">โอเชียเนีย</t>
  </si>
  <si>
    <t xml:space="preserve">Sydney Wholesale Pty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</si>
  <si>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</si>
  <si>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</si>
  <si>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</si>
  <si>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</si>
  <si>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</si>
  <si>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</si>
  <si>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</si>
  <si>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</si>
  <si>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</si>
  <si>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รวมทั้งหมด</t>
  </si>
  <si>
    <t xml:space="preserve">มูลค่ารวม (USD)</t>
  </si>
  <si>
    <t xml:space="preserve">จำนวนชิปเมนต์</t>
  </si>
  <si>
    <t xml:space="preserve">สัดส่วน %</t>
  </si>
  <si>
    <t xml:space="preserve">รวม</t>
  </si>
  <si>
    <t xml:space="preserve">ไฟล์ตัวอย่างข้อมูลส่งออก (สำหรับเดโม AI หาตลาด)</t>
  </si>
  <si>
    <t xml:space="preserve">วิธีใช้ในเวิร์กช็อป:</t>
  </si>
  <si>
    <t xml:space="preserve">1) อัปโหลดไฟล์นี้เข้า ChatGPT / Claude (เปิด Web Search)</t>
  </si>
  <si>
    <t xml:space="preserve">2) พิมพ์ Keyword เช่น:</t>
  </si>
  <si>
    <t xml:space="preserve">   "จากไฟล์ข้อมูลส่งออกนี้ ช่วยวิเคราะห์ Top 5 ตลาดของฉัน และตลาดที่กำลังเติบโตปี 2026"</t>
  </si>
  <si>
    <t xml:space="preserve">3) ลองเปลี่ยน Keyword เพื่อดูผลอีกแบบ เช่น ดูคู่แข่ง / ความเสี่ยงภาษี / สินค้าที่ควรโฟกัส</t>
  </si>
  <si>
    <t xml:space="preserve">หมายเหตุ: ข้อมูลนี้เป็นตัวอย่างสมมติ ไม่ใช่ข้อมูลจริง — เปลี่ยนเป็นไฟล์ของธุรกิจคุณได้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</si>
</sst>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4" t="n">
        <v>11000</v>
      </c>
      <c r="G2" s="4" t="n">
        <v>74616</v>
      </c>
      <c r="H2" s="3" t="s">
        <v>14</v>
      </c>
      <c r="I2" s="3" t="s">
        <v>15</v>
      </c>
    </row>
    <row r="3" customFormat="false" ht="15" hidden="false" customHeight="false" outlineLevel="0" collapsed="false">
      <c r="A3" s="2" t="s">
        <v>9</v>
      </c>
      <c r="B3" s="3" t="s">
        <v>10</v>
      </c>
      <c r="C3" s="2" t="s">
        <v>11</v>
      </c>
      <c r="D3" s="3" t="s">
        <v>16</v>
      </c>
      <c r="E3" s="3" t="s">
        <v>17</v>
      </c>
      <c r="F3" s="4" t="n">
        <v>13000</v>
      </c>
      <c r="G3" s="4" t="n">
        <v>84411</v>
      </c>
      <c r="H3" s="3" t="s">
        <v>18</v>
      </c>
      <c r="I3" s="3" t="s">
        <v>19</v>
      </c>
    </row>
    <row r="4" customFormat="false" ht="15" hidden="false" customHeight="false" outlineLevel="0" collapsed="false">
      <c r="A4" s="2" t="s">
        <v>9</v>
      </c>
      <c r="B4" s="3" t="s">
        <v>20</v>
      </c>
      <c r="C4" s="2" t="s">
        <v>21</v>
      </c>
      <c r="D4" s="3" t="s">
        <v>22</v>
      </c>
      <c r="E4" s="3" t="s">
        <v>23</v>
      </c>
      <c r="F4" s="4" t="n">
        <v>12000</v>
      </c>
      <c r="G4" s="4" t="n">
        <v>40036</v>
      </c>
      <c r="H4" s="3" t="s">
        <v>24</v>
      </c>
      <c r="I4" s="3" t="s">
        <v>25</v>
      </c>
    </row>
    <row r="5" customFormat="false" ht="15" hidden="false" customHeight="false" outlineLevel="0" collapsed="false">
      <c r="A5" s="2" t="s">
        <v>9</v>
      </c>
      <c r="B5" s="3" t="s">
        <v>20</v>
      </c>
      <c r="C5" s="2" t="s">
        <v>21</v>
      </c>
      <c r="D5" s="3" t="s">
        <v>26</v>
      </c>
      <c r="E5" s="3" t="s">
        <v>27</v>
      </c>
      <c r="F5" s="4" t="n">
        <v>4000</v>
      </c>
      <c r="G5" s="4" t="n">
        <v>14382</v>
      </c>
      <c r="H5" s="3" t="s">
        <v>14</v>
      </c>
      <c r="I5" s="3" t="s">
        <v>28</v>
      </c>
    </row>
    <row r="6" customFormat="false" ht="15" hidden="false" customHeight="false" outlineLevel="0" collapsed="false">
      <c r="A6" s="2" t="s">
        <v>29</v>
      </c>
      <c r="B6" s="3" t="s">
        <v>30</v>
      </c>
      <c r="C6" s="2" t="s">
        <v>31</v>
      </c>
      <c r="D6" s="3" t="s">
        <v>32</v>
      </c>
      <c r="E6" s="3" t="s">
        <v>13</v>
      </c>
      <c r="F6" s="4" t="n">
        <v>12000</v>
      </c>
      <c r="G6" s="4" t="n">
        <v>13767</v>
      </c>
      <c r="H6" s="3" t="s">
        <v>14</v>
      </c>
      <c r="I6" s="3" t="s">
        <v>33</v>
      </c>
    </row>
    <row r="7" customFormat="false" ht="15" hidden="false" customHeight="false" outlineLevel="0" collapsed="false">
      <c r="A7" s="2" t="s">
        <v>29</v>
      </c>
      <c r="B7" s="3" t="s">
        <v>34</v>
      </c>
      <c r="C7" s="2" t="s">
        <v>35</v>
      </c>
      <c r="D7" s="3" t="s">
        <v>22</v>
      </c>
      <c r="E7" s="3" t="s">
        <v>23</v>
      </c>
      <c r="F7" s="4" t="n">
        <v>34000</v>
      </c>
      <c r="G7" s="4" t="n">
        <v>31291</v>
      </c>
      <c r="H7" s="3" t="s">
        <v>14</v>
      </c>
      <c r="I7" s="3" t="s">
        <v>25</v>
      </c>
    </row>
    <row r="8" customFormat="false" ht="15" hidden="false" customHeight="false" outlineLevel="0" collapsed="false">
      <c r="A8" s="2" t="s">
        <v>29</v>
      </c>
      <c r="B8" s="3" t="s">
        <v>10</v>
      </c>
      <c r="C8" s="2" t="s">
        <v>11</v>
      </c>
      <c r="D8" s="3" t="s">
        <v>16</v>
      </c>
      <c r="E8" s="3" t="s">
        <v>17</v>
      </c>
      <c r="F8" s="4" t="n">
        <v>17000</v>
      </c>
      <c r="G8" s="4" t="n">
        <v>118240</v>
      </c>
      <c r="H8" s="3" t="s">
        <v>24</v>
      </c>
      <c r="I8" s="3" t="s">
        <v>19</v>
      </c>
    </row>
    <row r="9" customFormat="false" ht="15" hidden="false" customHeight="false" outlineLevel="0" collapsed="false">
      <c r="A9" s="2" t="s">
        <v>36</v>
      </c>
      <c r="B9" s="3" t="s">
        <v>30</v>
      </c>
      <c r="C9" s="2" t="s">
        <v>31</v>
      </c>
      <c r="D9" s="3" t="s">
        <v>37</v>
      </c>
      <c r="E9" s="3" t="s">
        <v>13</v>
      </c>
      <c r="F9" s="4" t="n">
        <v>11000</v>
      </c>
      <c r="G9" s="4" t="n">
        <v>13508</v>
      </c>
      <c r="H9" s="3" t="s">
        <v>24</v>
      </c>
      <c r="I9" s="3" t="s">
        <v>38</v>
      </c>
    </row>
    <row r="10" customFormat="false" ht="15" hidden="false" customHeight="false" outlineLevel="0" collapsed="false">
      <c r="A10" s="2" t="s">
        <v>36</v>
      </c>
      <c r="B10" s="3" t="s">
        <v>39</v>
      </c>
      <c r="C10" s="2" t="s">
        <v>40</v>
      </c>
      <c r="D10" s="3" t="s">
        <v>41</v>
      </c>
      <c r="E10" s="3" t="s">
        <v>42</v>
      </c>
      <c r="F10" s="4" t="n">
        <v>28000</v>
      </c>
      <c r="G10" s="4" t="n">
        <v>14538</v>
      </c>
      <c r="H10" s="3" t="s">
        <v>18</v>
      </c>
      <c r="I10" s="3" t="s">
        <v>43</v>
      </c>
    </row>
    <row r="11" customFormat="false" ht="15" hidden="false" customHeight="false" outlineLevel="0" collapsed="false">
      <c r="A11" s="2" t="s">
        <v>36</v>
      </c>
      <c r="B11" s="3" t="s">
        <v>34</v>
      </c>
      <c r="C11" s="2" t="s">
        <v>35</v>
      </c>
      <c r="D11" s="3" t="s">
        <v>44</v>
      </c>
      <c r="E11" s="3" t="s">
        <v>13</v>
      </c>
      <c r="F11" s="4" t="n">
        <v>19000</v>
      </c>
      <c r="G11" s="4" t="n">
        <v>18522</v>
      </c>
      <c r="H11" s="3" t="s">
        <v>18</v>
      </c>
      <c r="I11" s="3" t="s">
        <v>45</v>
      </c>
    </row>
    <row r="12" customFormat="false" ht="15" hidden="false" customHeight="false" outlineLevel="0" collapsed="false">
      <c r="A12" s="2" t="s">
        <v>46</v>
      </c>
      <c r="B12" s="3" t="s">
        <v>39</v>
      </c>
      <c r="C12" s="2" t="s">
        <v>40</v>
      </c>
      <c r="D12" s="3" t="s">
        <v>47</v>
      </c>
      <c r="E12" s="3" t="s">
        <v>42</v>
      </c>
      <c r="F12" s="4" t="n">
        <v>6000</v>
      </c>
      <c r="G12" s="4" t="n">
        <v>3074</v>
      </c>
      <c r="H12" s="3" t="s">
        <v>24</v>
      </c>
      <c r="I12" s="3" t="s">
        <v>48</v>
      </c>
    </row>
    <row r="13" customFormat="false" ht="15" hidden="false" customHeight="false" outlineLevel="0" collapsed="false">
      <c r="A13" s="2" t="s">
        <v>46</v>
      </c>
      <c r="B13" s="3" t="s">
        <v>20</v>
      </c>
      <c r="C13" s="2" t="s">
        <v>21</v>
      </c>
      <c r="D13" s="3" t="s">
        <v>41</v>
      </c>
      <c r="E13" s="3" t="s">
        <v>42</v>
      </c>
      <c r="F13" s="4" t="n">
        <v>21000</v>
      </c>
      <c r="G13" s="4" t="n">
        <v>74601</v>
      </c>
      <c r="H13" s="3" t="s">
        <v>18</v>
      </c>
      <c r="I13" s="3" t="s">
        <v>43</v>
      </c>
    </row>
    <row r="14" customFormat="false" ht="15" hidden="false" customHeight="false" outlineLevel="0" collapsed="false">
      <c r="A14" s="2" t="s">
        <v>46</v>
      </c>
      <c r="B14" s="3" t="s">
        <v>10</v>
      </c>
      <c r="C14" s="2" t="s">
        <v>11</v>
      </c>
      <c r="D14" s="3" t="s">
        <v>12</v>
      </c>
      <c r="E14" s="3" t="s">
        <v>13</v>
      </c>
      <c r="F14" s="4" t="n">
        <v>10000</v>
      </c>
      <c r="G14" s="4" t="n">
        <v>65644</v>
      </c>
      <c r="H14" s="3" t="s">
        <v>18</v>
      </c>
      <c r="I14" s="3" t="s">
        <v>15</v>
      </c>
    </row>
    <row r="15" customFormat="false" ht="15" hidden="false" customHeight="false" outlineLevel="0" collapsed="false">
      <c r="A15" s="2" t="s">
        <v>46</v>
      </c>
      <c r="B15" s="3" t="s">
        <v>39</v>
      </c>
      <c r="C15" s="2" t="s">
        <v>40</v>
      </c>
      <c r="D15" s="3" t="s">
        <v>44</v>
      </c>
      <c r="E15" s="3" t="s">
        <v>13</v>
      </c>
      <c r="F15" s="4" t="n">
        <v>15000</v>
      </c>
      <c r="G15" s="4" t="n">
        <v>7273</v>
      </c>
      <c r="H15" s="3" t="s">
        <v>18</v>
      </c>
      <c r="I15" s="3" t="s">
        <v>45</v>
      </c>
    </row>
    <row r="16" customFormat="false" ht="15" hidden="false" customHeight="false" outlineLevel="0" collapsed="false">
      <c r="A16" s="2" t="s">
        <v>49</v>
      </c>
      <c r="B16" s="3" t="s">
        <v>34</v>
      </c>
      <c r="C16" s="2" t="s">
        <v>35</v>
      </c>
      <c r="D16" s="3" t="s">
        <v>22</v>
      </c>
      <c r="E16" s="3" t="s">
        <v>23</v>
      </c>
      <c r="F16" s="4" t="n">
        <v>38000</v>
      </c>
      <c r="G16" s="4" t="n">
        <v>37016</v>
      </c>
      <c r="H16" s="3" t="s">
        <v>18</v>
      </c>
      <c r="I16" s="3" t="s">
        <v>25</v>
      </c>
    </row>
    <row r="17" customFormat="false" ht="15" hidden="false" customHeight="false" outlineLevel="0" collapsed="false">
      <c r="A17" s="2" t="s">
        <v>49</v>
      </c>
      <c r="B17" s="3" t="s">
        <v>30</v>
      </c>
      <c r="C17" s="2" t="s">
        <v>31</v>
      </c>
      <c r="D17" s="3" t="s">
        <v>37</v>
      </c>
      <c r="E17" s="3" t="s">
        <v>13</v>
      </c>
      <c r="F17" s="4" t="n">
        <v>14000</v>
      </c>
      <c r="G17" s="4" t="n">
        <v>18023</v>
      </c>
      <c r="H17" s="3" t="s">
        <v>18</v>
      </c>
      <c r="I17" s="3" t="s">
        <v>38</v>
      </c>
    </row>
    <row r="18" customFormat="false" ht="15" hidden="false" customHeight="false" outlineLevel="0" collapsed="false">
      <c r="A18" s="2" t="s">
        <v>49</v>
      </c>
      <c r="B18" s="3" t="s">
        <v>30</v>
      </c>
      <c r="C18" s="2" t="s">
        <v>31</v>
      </c>
      <c r="D18" s="3" t="s">
        <v>44</v>
      </c>
      <c r="E18" s="3" t="s">
        <v>13</v>
      </c>
      <c r="F18" s="4" t="n">
        <v>6000</v>
      </c>
      <c r="G18" s="4" t="n">
        <v>7524</v>
      </c>
      <c r="H18" s="3" t="s">
        <v>18</v>
      </c>
      <c r="I18" s="3" t="s">
        <v>45</v>
      </c>
    </row>
    <row r="19" customFormat="false" ht="15" hidden="false" customHeight="false" outlineLevel="0" collapsed="false">
      <c r="A19" s="2" t="s">
        <v>49</v>
      </c>
      <c r="B19" s="3" t="s">
        <v>10</v>
      </c>
      <c r="C19" s="2" t="s">
        <v>11</v>
      </c>
      <c r="D19" s="3" t="s">
        <v>12</v>
      </c>
      <c r="E19" s="3" t="s">
        <v>13</v>
      </c>
      <c r="F19" s="4" t="n">
        <v>30000</v>
      </c>
      <c r="G19" s="4" t="n">
        <v>201347</v>
      </c>
      <c r="H19" s="3" t="s">
        <v>18</v>
      </c>
      <c r="I19" s="3" t="s">
        <v>15</v>
      </c>
    </row>
    <row r="20" customFormat="false" ht="15" hidden="false" customHeight="false" outlineLevel="0" collapsed="false">
      <c r="A20" s="2" t="s">
        <v>50</v>
      </c>
      <c r="B20" s="3" t="s">
        <v>10</v>
      </c>
      <c r="C20" s="2" t="s">
        <v>11</v>
      </c>
      <c r="D20" s="3" t="s">
        <v>44</v>
      </c>
      <c r="E20" s="3" t="s">
        <v>13</v>
      </c>
      <c r="F20" s="4" t="n">
        <v>9000</v>
      </c>
      <c r="G20" s="4" t="n">
        <v>62068</v>
      </c>
      <c r="H20" s="3" t="s">
        <v>14</v>
      </c>
      <c r="I20" s="3" t="s">
        <v>45</v>
      </c>
    </row>
    <row r="21" customFormat="false" ht="15" hidden="false" customHeight="false" outlineLevel="0" collapsed="false">
      <c r="A21" s="2" t="s">
        <v>50</v>
      </c>
      <c r="B21" s="3" t="s">
        <v>34</v>
      </c>
      <c r="C21" s="2" t="s">
        <v>35</v>
      </c>
      <c r="D21" s="3" t="s">
        <v>22</v>
      </c>
      <c r="E21" s="3" t="s">
        <v>23</v>
      </c>
      <c r="F21" s="4" t="n">
        <v>15000</v>
      </c>
      <c r="G21" s="4" t="n">
        <v>14905</v>
      </c>
      <c r="H21" s="3" t="s">
        <v>18</v>
      </c>
      <c r="I21" s="3" t="s">
        <v>25</v>
      </c>
    </row>
    <row r="22" customFormat="false" ht="15" hidden="false" customHeight="false" outlineLevel="0" collapsed="false">
      <c r="A22" s="2" t="s">
        <v>50</v>
      </c>
      <c r="B22" s="3" t="s">
        <v>20</v>
      </c>
      <c r="C22" s="2" t="s">
        <v>21</v>
      </c>
      <c r="D22" s="3" t="s">
        <v>26</v>
      </c>
      <c r="E22" s="3" t="s">
        <v>27</v>
      </c>
      <c r="F22" s="4" t="n">
        <v>18000</v>
      </c>
      <c r="G22" s="4" t="n">
        <v>58781</v>
      </c>
      <c r="H22" s="3" t="s">
        <v>18</v>
      </c>
      <c r="I22" s="3" t="s">
        <v>28</v>
      </c>
    </row>
    <row r="23" customFormat="false" ht="15" hidden="false" customHeight="false" outlineLevel="0" collapsed="false">
      <c r="A23" s="2" t="s">
        <v>50</v>
      </c>
      <c r="B23" s="3" t="s">
        <v>20</v>
      </c>
      <c r="C23" s="2" t="s">
        <v>21</v>
      </c>
      <c r="D23" s="3" t="s">
        <v>12</v>
      </c>
      <c r="E23" s="3" t="s">
        <v>13</v>
      </c>
      <c r="F23" s="4" t="n">
        <v>21000</v>
      </c>
      <c r="G23" s="4" t="n">
        <v>76030</v>
      </c>
      <c r="H23" s="3" t="s">
        <v>18</v>
      </c>
      <c r="I23" s="3" t="s">
        <v>15</v>
      </c>
    </row>
    <row r="24" customFormat="false" ht="15" hidden="false" customHeight="false" outlineLevel="0" collapsed="false">
      <c r="A24" s="2" t="s">
        <v>50</v>
      </c>
      <c r="B24" s="3" t="s">
        <v>10</v>
      </c>
      <c r="C24" s="2" t="s">
        <v>11</v>
      </c>
      <c r="D24" s="3" t="s">
        <v>37</v>
      </c>
      <c r="E24" s="3" t="s">
        <v>13</v>
      </c>
      <c r="F24" s="4" t="n">
        <v>27000</v>
      </c>
      <c r="G24" s="4" t="n">
        <v>191280</v>
      </c>
      <c r="H24" s="3" t="s">
        <v>18</v>
      </c>
      <c r="I24" s="3" t="s">
        <v>38</v>
      </c>
    </row>
    <row r="25" customFormat="false" ht="15" hidden="false" customHeight="false" outlineLevel="0" collapsed="false">
      <c r="A25" s="2" t="s">
        <v>51</v>
      </c>
      <c r="B25" s="3" t="s">
        <v>39</v>
      </c>
      <c r="C25" s="2" t="s">
        <v>40</v>
      </c>
      <c r="D25" s="3" t="s">
        <v>16</v>
      </c>
      <c r="E25" s="3" t="s">
        <v>17</v>
      </c>
      <c r="F25" s="4" t="n">
        <v>15000</v>
      </c>
      <c r="G25" s="4" t="n">
        <v>7767</v>
      </c>
      <c r="H25" s="3" t="s">
        <v>14</v>
      </c>
      <c r="I25" s="3" t="s">
        <v>19</v>
      </c>
    </row>
    <row r="26" customFormat="false" ht="15" hidden="false" customHeight="false" outlineLevel="0" collapsed="false">
      <c r="A26" s="2" t="s">
        <v>51</v>
      </c>
      <c r="B26" s="3" t="s">
        <v>20</v>
      </c>
      <c r="C26" s="2" t="s">
        <v>21</v>
      </c>
      <c r="D26" s="3" t="s">
        <v>41</v>
      </c>
      <c r="E26" s="3" t="s">
        <v>42</v>
      </c>
      <c r="F26" s="4" t="n">
        <v>13000</v>
      </c>
      <c r="G26" s="4" t="n">
        <v>43500</v>
      </c>
      <c r="H26" s="3" t="s">
        <v>14</v>
      </c>
      <c r="I26" s="3" t="s">
        <v>43</v>
      </c>
    </row>
    <row r="27" customFormat="false" ht="15" hidden="false" customHeight="false" outlineLevel="0" collapsed="false">
      <c r="A27" s="2" t="s">
        <v>51</v>
      </c>
      <c r="B27" s="3" t="s">
        <v>39</v>
      </c>
      <c r="C27" s="2" t="s">
        <v>40</v>
      </c>
      <c r="D27" s="3" t="s">
        <v>12</v>
      </c>
      <c r="E27" s="3" t="s">
        <v>13</v>
      </c>
      <c r="F27" s="4" t="n">
        <v>29000</v>
      </c>
      <c r="G27" s="4" t="n">
        <v>14783</v>
      </c>
      <c r="H27" s="3" t="s">
        <v>24</v>
      </c>
      <c r="I27" s="3" t="s">
        <v>15</v>
      </c>
    </row>
    <row r="28" customFormat="false" ht="15" hidden="false" customHeight="false" outlineLevel="0" collapsed="false">
      <c r="A28" s="2" t="s">
        <v>51</v>
      </c>
      <c r="B28" s="3" t="s">
        <v>10</v>
      </c>
      <c r="C28" s="2" t="s">
        <v>11</v>
      </c>
      <c r="D28" s="3" t="s">
        <v>22</v>
      </c>
      <c r="E28" s="3" t="s">
        <v>23</v>
      </c>
      <c r="F28" s="4" t="n">
        <v>26000</v>
      </c>
      <c r="G28" s="4" t="n">
        <v>189866</v>
      </c>
      <c r="H28" s="3" t="s">
        <v>24</v>
      </c>
      <c r="I28" s="3" t="s">
        <v>25</v>
      </c>
    </row>
    <row r="29" customFormat="false" ht="15" hidden="false" customHeight="false" outlineLevel="0" collapsed="false">
      <c r="A29" s="2" t="s">
        <v>51</v>
      </c>
      <c r="B29" s="3" t="s">
        <v>10</v>
      </c>
      <c r="C29" s="2" t="s">
        <v>11</v>
      </c>
      <c r="D29" s="3" t="s">
        <v>37</v>
      </c>
      <c r="E29" s="3" t="s">
        <v>13</v>
      </c>
      <c r="F29" s="4" t="n">
        <v>12000</v>
      </c>
      <c r="G29" s="4" t="n">
        <v>82364</v>
      </c>
      <c r="H29" s="3" t="s">
        <v>24</v>
      </c>
      <c r="I29" s="3" t="s">
        <v>38</v>
      </c>
    </row>
    <row r="30" customFormat="false" ht="15" hidden="false" customHeight="false" outlineLevel="0" collapsed="false">
      <c r="A30" s="2" t="s">
        <v>52</v>
      </c>
      <c r="B30" s="3" t="s">
        <v>20</v>
      </c>
      <c r="C30" s="2" t="s">
        <v>21</v>
      </c>
      <c r="D30" s="3" t="s">
        <v>16</v>
      </c>
      <c r="E30" s="3" t="s">
        <v>17</v>
      </c>
      <c r="F30" s="4" t="n">
        <v>23000</v>
      </c>
      <c r="G30" s="4" t="n">
        <v>74923</v>
      </c>
      <c r="H30" s="3" t="s">
        <v>14</v>
      </c>
      <c r="I30" s="3" t="s">
        <v>19</v>
      </c>
    </row>
    <row r="31" customFormat="false" ht="15" hidden="false" customHeight="false" outlineLevel="0" collapsed="false">
      <c r="A31" s="2" t="s">
        <v>52</v>
      </c>
      <c r="B31" s="3" t="s">
        <v>39</v>
      </c>
      <c r="C31" s="2" t="s">
        <v>40</v>
      </c>
      <c r="D31" s="3" t="s">
        <v>32</v>
      </c>
      <c r="E31" s="3" t="s">
        <v>13</v>
      </c>
      <c r="F31" s="4" t="n">
        <v>21000</v>
      </c>
      <c r="G31" s="4" t="n">
        <v>10197</v>
      </c>
      <c r="H31" s="3" t="s">
        <v>18</v>
      </c>
      <c r="I31" s="3" t="s">
        <v>33</v>
      </c>
    </row>
    <row r="32" customFormat="false" ht="15" hidden="false" customHeight="false" outlineLevel="0" collapsed="false">
      <c r="A32" s="2" t="s">
        <v>52</v>
      </c>
      <c r="B32" s="3" t="s">
        <v>10</v>
      </c>
      <c r="C32" s="2" t="s">
        <v>11</v>
      </c>
      <c r="D32" s="3" t="s">
        <v>53</v>
      </c>
      <c r="E32" s="3" t="s">
        <v>54</v>
      </c>
      <c r="F32" s="4" t="n">
        <v>5000</v>
      </c>
      <c r="G32" s="4" t="n">
        <v>32753</v>
      </c>
      <c r="H32" s="3" t="s">
        <v>24</v>
      </c>
      <c r="I32" s="3" t="s">
        <v>55</v>
      </c>
    </row>
    <row r="33" customFormat="false" ht="15" hidden="false" customHeight="false" outlineLevel="0" collapsed="false">
      <c r="A33" s="2" t="s">
        <v>52</v>
      </c>
      <c r="B33" s="3" t="s">
        <v>39</v>
      </c>
      <c r="C33" s="2" t="s">
        <v>40</v>
      </c>
      <c r="D33" s="3" t="s">
        <v>41</v>
      </c>
      <c r="E33" s="3" t="s">
        <v>42</v>
      </c>
      <c r="F33" s="4" t="n">
        <v>10000</v>
      </c>
      <c r="G33" s="4" t="n">
        <v>5367</v>
      </c>
      <c r="H33" s="3" t="s">
        <v>24</v>
      </c>
      <c r="I33" s="3" t="s">
        <v>43</v>
      </c>
    </row>
    <row r="34" customFormat="false" ht="15" hidden="false" customHeight="false" outlineLevel="0" collapsed="false">
      <c r="A34" s="2" t="s">
        <v>52</v>
      </c>
      <c r="B34" s="3" t="s">
        <v>30</v>
      </c>
      <c r="C34" s="2" t="s">
        <v>31</v>
      </c>
      <c r="D34" s="3" t="s">
        <v>22</v>
      </c>
      <c r="E34" s="3" t="s">
        <v>23</v>
      </c>
      <c r="F34" s="4" t="n">
        <v>11000</v>
      </c>
      <c r="G34" s="4" t="n">
        <v>14040</v>
      </c>
      <c r="H34" s="3" t="s">
        <v>24</v>
      </c>
      <c r="I34" s="3" t="s">
        <v>25</v>
      </c>
    </row>
    <row r="35" customFormat="false" ht="15" hidden="false" customHeight="false" outlineLevel="0" collapsed="false">
      <c r="A35" s="2" t="s">
        <v>56</v>
      </c>
      <c r="B35" s="3" t="s">
        <v>34</v>
      </c>
      <c r="C35" s="2" t="s">
        <v>35</v>
      </c>
      <c r="D35" s="3" t="s">
        <v>12</v>
      </c>
      <c r="E35" s="3" t="s">
        <v>13</v>
      </c>
      <c r="F35" s="4" t="n">
        <v>32000</v>
      </c>
      <c r="G35" s="4" t="n">
        <v>29365</v>
      </c>
      <c r="H35" s="3" t="s">
        <v>18</v>
      </c>
      <c r="I35" s="3" t="s">
        <v>15</v>
      </c>
    </row>
    <row r="36" customFormat="false" ht="15" hidden="false" customHeight="false" outlineLevel="0" collapsed="false">
      <c r="A36" s="2" t="s">
        <v>56</v>
      </c>
      <c r="B36" s="3" t="s">
        <v>20</v>
      </c>
      <c r="C36" s="2" t="s">
        <v>21</v>
      </c>
      <c r="D36" s="3" t="s">
        <v>47</v>
      </c>
      <c r="E36" s="3" t="s">
        <v>42</v>
      </c>
      <c r="F36" s="4" t="n">
        <v>21000</v>
      </c>
      <c r="G36" s="4" t="n">
        <v>72321</v>
      </c>
      <c r="H36" s="3" t="s">
        <v>14</v>
      </c>
      <c r="I36" s="3" t="s">
        <v>48</v>
      </c>
    </row>
    <row r="37" customFormat="false" ht="15" hidden="false" customHeight="false" outlineLevel="0" collapsed="false">
      <c r="A37" s="2" t="s">
        <v>56</v>
      </c>
      <c r="B37" s="3" t="s">
        <v>39</v>
      </c>
      <c r="C37" s="2" t="s">
        <v>40</v>
      </c>
      <c r="D37" s="3" t="s">
        <v>44</v>
      </c>
      <c r="E37" s="3" t="s">
        <v>13</v>
      </c>
      <c r="F37" s="4" t="n">
        <v>9000</v>
      </c>
      <c r="G37" s="4" t="n">
        <v>4714</v>
      </c>
      <c r="H37" s="3" t="s">
        <v>24</v>
      </c>
      <c r="I37" s="3" t="s">
        <v>45</v>
      </c>
    </row>
    <row r="38" customFormat="false" ht="15" hidden="false" customHeight="false" outlineLevel="0" collapsed="false">
      <c r="A38" s="2" t="s">
        <v>56</v>
      </c>
      <c r="B38" s="3" t="s">
        <v>34</v>
      </c>
      <c r="C38" s="2" t="s">
        <v>35</v>
      </c>
      <c r="D38" s="3" t="s">
        <v>53</v>
      </c>
      <c r="E38" s="3" t="s">
        <v>54</v>
      </c>
      <c r="F38" s="4" t="n">
        <v>20000</v>
      </c>
      <c r="G38" s="4" t="n">
        <v>20097</v>
      </c>
      <c r="H38" s="3" t="s">
        <v>14</v>
      </c>
      <c r="I38" s="3" t="s">
        <v>55</v>
      </c>
    </row>
    <row r="39" customFormat="false" ht="15" hidden="false" customHeight="false" outlineLevel="0" collapsed="false">
      <c r="A39" s="2" t="s">
        <v>57</v>
      </c>
      <c r="B39" s="3" t="s">
        <v>10</v>
      </c>
      <c r="C39" s="2" t="s">
        <v>11</v>
      </c>
      <c r="D39" s="3" t="s">
        <v>22</v>
      </c>
      <c r="E39" s="3" t="s">
        <v>23</v>
      </c>
      <c r="F39" s="4" t="n">
        <v>8000</v>
      </c>
      <c r="G39" s="4" t="n">
        <v>57042</v>
      </c>
      <c r="H39" s="3" t="s">
        <v>18</v>
      </c>
      <c r="I39" s="3" t="s">
        <v>25</v>
      </c>
    </row>
    <row r="40" customFormat="false" ht="15" hidden="false" customHeight="false" outlineLevel="0" collapsed="false">
      <c r="A40" s="2" t="s">
        <v>57</v>
      </c>
      <c r="B40" s="3" t="s">
        <v>30</v>
      </c>
      <c r="C40" s="2" t="s">
        <v>31</v>
      </c>
      <c r="D40" s="3" t="s">
        <v>41</v>
      </c>
      <c r="E40" s="3" t="s">
        <v>42</v>
      </c>
      <c r="F40" s="4" t="n">
        <v>17000</v>
      </c>
      <c r="G40" s="4" t="n">
        <v>20755</v>
      </c>
      <c r="H40" s="3" t="s">
        <v>14</v>
      </c>
      <c r="I40" s="3" t="s">
        <v>43</v>
      </c>
    </row>
    <row r="41" customFormat="false" ht="15" hidden="false" customHeight="false" outlineLevel="0" collapsed="false">
      <c r="A41" s="2" t="s">
        <v>57</v>
      </c>
      <c r="B41" s="3" t="s">
        <v>34</v>
      </c>
      <c r="C41" s="2" t="s">
        <v>35</v>
      </c>
      <c r="D41" s="3" t="s">
        <v>44</v>
      </c>
      <c r="E41" s="3" t="s">
        <v>13</v>
      </c>
      <c r="F41" s="4" t="n">
        <v>15000</v>
      </c>
      <c r="G41" s="4" t="n">
        <v>14524</v>
      </c>
      <c r="H41" s="3" t="s">
        <v>24</v>
      </c>
      <c r="I41" s="3" t="s">
        <v>45</v>
      </c>
    </row>
    <row r="42" customFormat="false" ht="15" hidden="false" customHeight="false" outlineLevel="0" collapsed="false">
      <c r="A42" s="2" t="s">
        <v>57</v>
      </c>
      <c r="B42" s="3" t="s">
        <v>34</v>
      </c>
      <c r="C42" s="2" t="s">
        <v>35</v>
      </c>
      <c r="D42" s="3" t="s">
        <v>37</v>
      </c>
      <c r="E42" s="3" t="s">
        <v>13</v>
      </c>
      <c r="F42" s="4" t="n">
        <v>26000</v>
      </c>
      <c r="G42" s="4" t="n">
        <v>25434</v>
      </c>
      <c r="H42" s="3" t="s">
        <v>14</v>
      </c>
      <c r="I42" s="3" t="s">
        <v>38</v>
      </c>
    </row>
    <row r="43" customFormat="false" ht="15" hidden="false" customHeight="false" outlineLevel="0" collapsed="false">
      <c r="A43" s="2" t="s">
        <v>57</v>
      </c>
      <c r="B43" s="3" t="s">
        <v>39</v>
      </c>
      <c r="C43" s="2" t="s">
        <v>40</v>
      </c>
      <c r="D43" s="3" t="s">
        <v>26</v>
      </c>
      <c r="E43" s="3" t="s">
        <v>27</v>
      </c>
      <c r="F43" s="4" t="n">
        <v>17000</v>
      </c>
      <c r="G43" s="4" t="n">
        <v>8893</v>
      </c>
      <c r="H43" s="3" t="s">
        <v>14</v>
      </c>
      <c r="I43" s="3" t="s">
        <v>28</v>
      </c>
    </row>
    <row r="44" customFormat="false" ht="15" hidden="false" customHeight="false" outlineLevel="0" collapsed="false">
      <c r="A44" s="2" t="s">
        <v>58</v>
      </c>
      <c r="B44" s="3" t="s">
        <v>30</v>
      </c>
      <c r="C44" s="2" t="s">
        <v>31</v>
      </c>
      <c r="D44" s="3" t="s">
        <v>53</v>
      </c>
      <c r="E44" s="3" t="s">
        <v>54</v>
      </c>
      <c r="F44" s="4" t="n">
        <v>5000</v>
      </c>
      <c r="G44" s="4" t="n">
        <v>6316</v>
      </c>
      <c r="H44" s="3" t="s">
        <v>18</v>
      </c>
      <c r="I44" s="3" t="s">
        <v>55</v>
      </c>
    </row>
    <row r="45" customFormat="false" ht="15" hidden="false" customHeight="false" outlineLevel="0" collapsed="false">
      <c r="A45" s="2" t="s">
        <v>58</v>
      </c>
      <c r="B45" s="3" t="s">
        <v>34</v>
      </c>
      <c r="C45" s="2" t="s">
        <v>35</v>
      </c>
      <c r="D45" s="3" t="s">
        <v>26</v>
      </c>
      <c r="E45" s="3" t="s">
        <v>27</v>
      </c>
      <c r="F45" s="4" t="n">
        <v>10000</v>
      </c>
      <c r="G45" s="4" t="n">
        <v>9880</v>
      </c>
      <c r="H45" s="3" t="s">
        <v>18</v>
      </c>
      <c r="I45" s="3" t="s">
        <v>28</v>
      </c>
    </row>
    <row r="46" customFormat="false" ht="15" hidden="false" customHeight="false" outlineLevel="0" collapsed="false">
      <c r="A46" s="2" t="s">
        <v>58</v>
      </c>
      <c r="B46" s="3" t="s">
        <v>20</v>
      </c>
      <c r="C46" s="2" t="s">
        <v>21</v>
      </c>
      <c r="D46" s="3" t="s">
        <v>44</v>
      </c>
      <c r="E46" s="3" t="s">
        <v>13</v>
      </c>
      <c r="F46" s="4" t="n">
        <v>22000</v>
      </c>
      <c r="G46" s="4" t="n">
        <v>80346</v>
      </c>
      <c r="H46" s="3" t="s">
        <v>18</v>
      </c>
      <c r="I46" s="3" t="s">
        <v>45</v>
      </c>
    </row>
    <row r="47" customFormat="false" ht="15" hidden="false" customHeight="false" outlineLevel="0" collapsed="false">
      <c r="A47" s="2" t="s">
        <v>59</v>
      </c>
      <c r="B47" s="3" t="s">
        <v>20</v>
      </c>
      <c r="C47" s="2" t="s">
        <v>21</v>
      </c>
      <c r="D47" s="3" t="s">
        <v>41</v>
      </c>
      <c r="E47" s="3" t="s">
        <v>42</v>
      </c>
      <c r="F47" s="4" t="n">
        <v>14000</v>
      </c>
      <c r="G47" s="4" t="n">
        <v>47310</v>
      </c>
      <c r="H47" s="3" t="s">
        <v>18</v>
      </c>
      <c r="I47" s="3" t="s">
        <v>43</v>
      </c>
    </row>
    <row r="48" customFormat="false" ht="15" hidden="false" customHeight="false" outlineLevel="0" collapsed="false">
      <c r="A48" s="2" t="s">
        <v>59</v>
      </c>
      <c r="B48" s="3" t="s">
        <v>10</v>
      </c>
      <c r="C48" s="2" t="s">
        <v>11</v>
      </c>
      <c r="D48" s="3" t="s">
        <v>37</v>
      </c>
      <c r="E48" s="3" t="s">
        <v>13</v>
      </c>
      <c r="F48" s="4" t="n">
        <v>10000</v>
      </c>
      <c r="G48" s="4" t="n">
        <v>68839</v>
      </c>
      <c r="H48" s="3" t="s">
        <v>24</v>
      </c>
      <c r="I48" s="3" t="s">
        <v>38</v>
      </c>
    </row>
    <row r="49" customFormat="false" ht="15" hidden="false" customHeight="false" outlineLevel="0" collapsed="false">
      <c r="A49" s="2" t="s">
        <v>59</v>
      </c>
      <c r="B49" s="3" t="s">
        <v>34</v>
      </c>
      <c r="C49" s="2" t="s">
        <v>35</v>
      </c>
      <c r="D49" s="3" t="s">
        <v>32</v>
      </c>
      <c r="E49" s="3" t="s">
        <v>13</v>
      </c>
      <c r="F49" s="4" t="n">
        <v>8000</v>
      </c>
      <c r="G49" s="4" t="n">
        <v>8045</v>
      </c>
      <c r="H49" s="3" t="s">
        <v>14</v>
      </c>
      <c r="I49" s="3" t="s">
        <v>33</v>
      </c>
    </row>
    <row r="50" customFormat="false" ht="15" hidden="false" customHeight="false" outlineLevel="0" collapsed="false">
      <c r="A50" s="2" t="s">
        <v>60</v>
      </c>
      <c r="B50" s="3" t="s">
        <v>34</v>
      </c>
      <c r="C50" s="2" t="s">
        <v>35</v>
      </c>
      <c r="D50" s="3" t="s">
        <v>41</v>
      </c>
      <c r="E50" s="3" t="s">
        <v>42</v>
      </c>
      <c r="F50" s="4" t="n">
        <v>9000</v>
      </c>
      <c r="G50" s="4" t="n">
        <v>9013</v>
      </c>
      <c r="H50" s="3" t="s">
        <v>24</v>
      </c>
      <c r="I50" s="3" t="s">
        <v>43</v>
      </c>
    </row>
    <row r="51" customFormat="false" ht="15" hidden="false" customHeight="false" outlineLevel="0" collapsed="false">
      <c r="A51" s="2" t="s">
        <v>60</v>
      </c>
      <c r="B51" s="3" t="s">
        <v>20</v>
      </c>
      <c r="C51" s="2" t="s">
        <v>21</v>
      </c>
      <c r="D51" s="3" t="s">
        <v>26</v>
      </c>
      <c r="E51" s="3" t="s">
        <v>27</v>
      </c>
      <c r="F51" s="4" t="n">
        <v>20000</v>
      </c>
      <c r="G51" s="4" t="n">
        <v>68148</v>
      </c>
      <c r="H51" s="3" t="s">
        <v>14</v>
      </c>
      <c r="I51" s="3" t="s">
        <v>28</v>
      </c>
    </row>
    <row r="52" customFormat="false" ht="15" hidden="false" customHeight="false" outlineLevel="0" collapsed="false">
      <c r="A52" s="2" t="s">
        <v>60</v>
      </c>
      <c r="B52" s="3" t="s">
        <v>39</v>
      </c>
      <c r="C52" s="2" t="s">
        <v>40</v>
      </c>
      <c r="D52" s="3" t="s">
        <v>12</v>
      </c>
      <c r="E52" s="3" t="s">
        <v>13</v>
      </c>
      <c r="F52" s="4" t="n">
        <v>16000</v>
      </c>
      <c r="G52" s="4" t="n">
        <v>8633</v>
      </c>
      <c r="H52" s="3" t="s">
        <v>14</v>
      </c>
      <c r="I52" s="3" t="s">
        <v>15</v>
      </c>
    </row>
    <row r="53" customFormat="false" ht="15" hidden="false" customHeight="false" outlineLevel="0" collapsed="false">
      <c r="A53" s="2" t="s">
        <v>60</v>
      </c>
      <c r="B53" s="3" t="s">
        <v>39</v>
      </c>
      <c r="C53" s="2" t="s">
        <v>40</v>
      </c>
      <c r="D53" s="3" t="s">
        <v>32</v>
      </c>
      <c r="E53" s="3" t="s">
        <v>13</v>
      </c>
      <c r="F53" s="4" t="n">
        <v>23000</v>
      </c>
      <c r="G53" s="4" t="n">
        <v>12131</v>
      </c>
      <c r="H53" s="3" t="s">
        <v>14</v>
      </c>
      <c r="I53" s="3" t="s">
        <v>33</v>
      </c>
    </row>
    <row r="54" customFormat="false" ht="15" hidden="false" customHeight="false" outlineLevel="0" collapsed="false">
      <c r="A54" s="2" t="s">
        <v>61</v>
      </c>
      <c r="B54" s="3" t="s">
        <v>10</v>
      </c>
      <c r="C54" s="2" t="s">
        <v>11</v>
      </c>
      <c r="D54" s="3" t="s">
        <v>32</v>
      </c>
      <c r="E54" s="3" t="s">
        <v>13</v>
      </c>
      <c r="F54" s="4" t="n">
        <v>10000</v>
      </c>
      <c r="G54" s="4" t="n">
        <v>64789</v>
      </c>
      <c r="H54" s="3" t="s">
        <v>24</v>
      </c>
      <c r="I54" s="3" t="s">
        <v>33</v>
      </c>
    </row>
    <row r="55" customFormat="false" ht="15" hidden="false" customHeight="false" outlineLevel="0" collapsed="false">
      <c r="A55" s="2" t="s">
        <v>61</v>
      </c>
      <c r="B55" s="3" t="s">
        <v>30</v>
      </c>
      <c r="C55" s="2" t="s">
        <v>31</v>
      </c>
      <c r="D55" s="3" t="s">
        <v>26</v>
      </c>
      <c r="E55" s="3" t="s">
        <v>27</v>
      </c>
      <c r="F55" s="4" t="n">
        <v>9000</v>
      </c>
      <c r="G55" s="4" t="n">
        <v>10869</v>
      </c>
      <c r="H55" s="3" t="s">
        <v>14</v>
      </c>
      <c r="I55" s="3" t="s">
        <v>28</v>
      </c>
    </row>
    <row r="56" customFormat="false" ht="15" hidden="false" customHeight="false" outlineLevel="0" collapsed="false">
      <c r="A56" s="2" t="s">
        <v>61</v>
      </c>
      <c r="B56" s="3" t="s">
        <v>39</v>
      </c>
      <c r="C56" s="2" t="s">
        <v>40</v>
      </c>
      <c r="D56" s="3" t="s">
        <v>44</v>
      </c>
      <c r="E56" s="3" t="s">
        <v>13</v>
      </c>
      <c r="F56" s="4" t="n">
        <v>8000</v>
      </c>
      <c r="G56" s="4" t="n">
        <v>3931</v>
      </c>
      <c r="H56" s="3" t="s">
        <v>18</v>
      </c>
      <c r="I56" s="3" t="s">
        <v>45</v>
      </c>
    </row>
    <row r="57" customFormat="false" ht="15" hidden="false" customHeight="false" outlineLevel="0" collapsed="false">
      <c r="A57" s="2" t="s">
        <v>61</v>
      </c>
      <c r="B57" s="3" t="s">
        <v>10</v>
      </c>
      <c r="C57" s="2" t="s">
        <v>11</v>
      </c>
      <c r="D57" s="3" t="s">
        <v>37</v>
      </c>
      <c r="E57" s="3" t="s">
        <v>13</v>
      </c>
      <c r="F57" s="4" t="n">
        <v>31000</v>
      </c>
      <c r="G57" s="4" t="n">
        <v>221188</v>
      </c>
      <c r="H57" s="3" t="s">
        <v>18</v>
      </c>
      <c r="I57" s="3" t="s">
        <v>38</v>
      </c>
    </row>
    <row r="58" customFormat="false" ht="15" hidden="false" customHeight="false" outlineLevel="0" collapsed="false">
      <c r="A58" s="2" t="s">
        <v>61</v>
      </c>
      <c r="B58" s="3" t="s">
        <v>34</v>
      </c>
      <c r="C58" s="2" t="s">
        <v>35</v>
      </c>
      <c r="D58" s="3" t="s">
        <v>47</v>
      </c>
      <c r="E58" s="3" t="s">
        <v>42</v>
      </c>
      <c r="F58" s="4" t="n">
        <v>19000</v>
      </c>
      <c r="G58" s="4" t="n">
        <v>19105</v>
      </c>
      <c r="H58" s="3" t="s">
        <v>14</v>
      </c>
      <c r="I58" s="3" t="s">
        <v>48</v>
      </c>
    </row>
    <row r="59" customFormat="false" ht="15" hidden="false" customHeight="false" outlineLevel="0" collapsed="false">
      <c r="A59" s="2" t="s">
        <v>62</v>
      </c>
      <c r="B59" s="3" t="s">
        <v>39</v>
      </c>
      <c r="C59" s="2" t="s">
        <v>40</v>
      </c>
      <c r="D59" s="3" t="s">
        <v>44</v>
      </c>
      <c r="E59" s="3" t="s">
        <v>13</v>
      </c>
      <c r="F59" s="4" t="n">
        <v>15000</v>
      </c>
      <c r="G59" s="4" t="n">
        <v>7635</v>
      </c>
      <c r="H59" s="3" t="s">
        <v>14</v>
      </c>
      <c r="I59" s="3" t="s">
        <v>45</v>
      </c>
    </row>
    <row r="60" customFormat="false" ht="15" hidden="false" customHeight="false" outlineLevel="0" collapsed="false">
      <c r="A60" s="2" t="s">
        <v>62</v>
      </c>
      <c r="B60" s="3" t="s">
        <v>20</v>
      </c>
      <c r="C60" s="2" t="s">
        <v>21</v>
      </c>
      <c r="D60" s="3" t="s">
        <v>26</v>
      </c>
      <c r="E60" s="3" t="s">
        <v>27</v>
      </c>
      <c r="F60" s="4" t="n">
        <v>11000</v>
      </c>
      <c r="G60" s="4" t="n">
        <v>38489</v>
      </c>
      <c r="H60" s="3" t="s">
        <v>14</v>
      </c>
      <c r="I60" s="3" t="s">
        <v>28</v>
      </c>
    </row>
    <row r="61" customFormat="false" ht="15" hidden="false" customHeight="false" outlineLevel="0" collapsed="false">
      <c r="A61" s="2" t="s">
        <v>62</v>
      </c>
      <c r="B61" s="3" t="s">
        <v>39</v>
      </c>
      <c r="C61" s="2" t="s">
        <v>40</v>
      </c>
      <c r="D61" s="3" t="s">
        <v>16</v>
      </c>
      <c r="E61" s="3" t="s">
        <v>17</v>
      </c>
      <c r="F61" s="4" t="n">
        <v>13000</v>
      </c>
      <c r="G61" s="4" t="n">
        <v>6575</v>
      </c>
      <c r="H61" s="3" t="s">
        <v>24</v>
      </c>
      <c r="I61" s="3" t="s">
        <v>19</v>
      </c>
    </row>
    <row r="62" customFormat="false" ht="15" hidden="false" customHeight="false" outlineLevel="0" collapsed="false">
      <c r="A62" s="2" t="s">
        <v>62</v>
      </c>
      <c r="B62" s="3" t="s">
        <v>30</v>
      </c>
      <c r="C62" s="2" t="s">
        <v>31</v>
      </c>
      <c r="D62" s="3" t="s">
        <v>53</v>
      </c>
      <c r="E62" s="3" t="s">
        <v>54</v>
      </c>
      <c r="F62" s="4" t="n">
        <v>6000</v>
      </c>
      <c r="G62" s="4" t="n">
        <v>7145</v>
      </c>
      <c r="H62" s="3" t="s">
        <v>24</v>
      </c>
      <c r="I62" s="3" t="s">
        <v>55</v>
      </c>
    </row>
    <row r="63" customFormat="false" ht="15" hidden="false" customHeight="false" outlineLevel="0" collapsed="false">
      <c r="A63" s="2" t="s">
        <v>62</v>
      </c>
      <c r="B63" s="3" t="s">
        <v>10</v>
      </c>
      <c r="C63" s="2" t="s">
        <v>11</v>
      </c>
      <c r="D63" s="3" t="s">
        <v>47</v>
      </c>
      <c r="E63" s="3" t="s">
        <v>42</v>
      </c>
      <c r="F63" s="4" t="n">
        <v>22000</v>
      </c>
      <c r="G63" s="4" t="n">
        <v>157373</v>
      </c>
      <c r="H63" s="3" t="s">
        <v>14</v>
      </c>
      <c r="I63" s="3" t="s">
        <v>48</v>
      </c>
    </row>
    <row r="64" customFormat="false" ht="15" hidden="false" customHeight="false" outlineLevel="0" collapsed="false">
      <c r="A64" s="2" t="s">
        <v>63</v>
      </c>
      <c r="B64" s="3" t="s">
        <v>30</v>
      </c>
      <c r="C64" s="2" t="s">
        <v>31</v>
      </c>
      <c r="D64" s="3" t="s">
        <v>22</v>
      </c>
      <c r="E64" s="3" t="s">
        <v>23</v>
      </c>
      <c r="F64" s="4" t="n">
        <v>32000</v>
      </c>
      <c r="G64" s="4" t="n">
        <v>38737</v>
      </c>
      <c r="H64" s="3" t="s">
        <v>14</v>
      </c>
      <c r="I64" s="3" t="s">
        <v>25</v>
      </c>
    </row>
    <row r="65" customFormat="false" ht="15" hidden="false" customHeight="false" outlineLevel="0" collapsed="false">
      <c r="A65" s="2" t="s">
        <v>63</v>
      </c>
      <c r="B65" s="3" t="s">
        <v>30</v>
      </c>
      <c r="C65" s="2" t="s">
        <v>31</v>
      </c>
      <c r="D65" s="3" t="s">
        <v>41</v>
      </c>
      <c r="E65" s="3" t="s">
        <v>42</v>
      </c>
      <c r="F65" s="4" t="n">
        <v>25000</v>
      </c>
      <c r="G65" s="4" t="n">
        <v>29770</v>
      </c>
      <c r="H65" s="3" t="s">
        <v>24</v>
      </c>
      <c r="I65" s="3" t="s">
        <v>43</v>
      </c>
    </row>
    <row r="66" customFormat="false" ht="15" hidden="false" customHeight="false" outlineLevel="0" collapsed="false">
      <c r="A66" s="2" t="s">
        <v>63</v>
      </c>
      <c r="B66" s="3" t="s">
        <v>10</v>
      </c>
      <c r="C66" s="2" t="s">
        <v>11</v>
      </c>
      <c r="D66" s="3" t="s">
        <v>53</v>
      </c>
      <c r="E66" s="3" t="s">
        <v>54</v>
      </c>
      <c r="F66" s="4" t="n">
        <v>22000</v>
      </c>
      <c r="G66" s="4" t="n">
        <v>145998</v>
      </c>
      <c r="H66" s="3" t="s">
        <v>18</v>
      </c>
      <c r="I66" s="3" t="s">
        <v>55</v>
      </c>
    </row>
    <row r="67" customFormat="false" ht="15" hidden="false" customHeight="false" outlineLevel="0" collapsed="false">
      <c r="A67" s="2" t="s">
        <v>63</v>
      </c>
      <c r="B67" s="3" t="s">
        <v>20</v>
      </c>
      <c r="C67" s="2" t="s">
        <v>21</v>
      </c>
      <c r="D67" s="3" t="s">
        <v>12</v>
      </c>
      <c r="E67" s="3" t="s">
        <v>13</v>
      </c>
      <c r="F67" s="4" t="n">
        <v>35000</v>
      </c>
      <c r="G67" s="4" t="n">
        <v>121300</v>
      </c>
      <c r="H67" s="3" t="s">
        <v>18</v>
      </c>
      <c r="I67" s="3" t="s">
        <v>15</v>
      </c>
    </row>
    <row r="68" customFormat="false" ht="15" hidden="false" customHeight="false" outlineLevel="0" collapsed="false">
      <c r="A68" s="2" t="s">
        <v>63</v>
      </c>
      <c r="B68" s="3" t="s">
        <v>10</v>
      </c>
      <c r="C68" s="2" t="s">
        <v>11</v>
      </c>
      <c r="D68" s="3" t="s">
        <v>32</v>
      </c>
      <c r="E68" s="3" t="s">
        <v>13</v>
      </c>
      <c r="F68" s="4" t="n">
        <v>15000</v>
      </c>
      <c r="G68" s="4" t="n">
        <v>106172</v>
      </c>
      <c r="H68" s="3" t="s">
        <v>18</v>
      </c>
      <c r="I68" s="3" t="s">
        <v>33</v>
      </c>
    </row>
    <row r="69" customFormat="false" ht="15" hidden="false" customHeight="false" outlineLevel="0" collapsed="false">
      <c r="A69" s="2" t="s">
        <v>64</v>
      </c>
      <c r="B69" s="3" t="s">
        <v>20</v>
      </c>
      <c r="C69" s="2" t="s">
        <v>21</v>
      </c>
      <c r="D69" s="3" t="s">
        <v>41</v>
      </c>
      <c r="E69" s="3" t="s">
        <v>42</v>
      </c>
      <c r="F69" s="4" t="n">
        <v>25000</v>
      </c>
      <c r="G69" s="4" t="n">
        <v>84242</v>
      </c>
      <c r="H69" s="3" t="s">
        <v>24</v>
      </c>
      <c r="I69" s="3" t="s">
        <v>43</v>
      </c>
    </row>
    <row r="70" customFormat="false" ht="15" hidden="false" customHeight="false" outlineLevel="0" collapsed="false">
      <c r="A70" s="2" t="s">
        <v>64</v>
      </c>
      <c r="B70" s="3" t="s">
        <v>39</v>
      </c>
      <c r="C70" s="2" t="s">
        <v>40</v>
      </c>
      <c r="D70" s="3" t="s">
        <v>26</v>
      </c>
      <c r="E70" s="3" t="s">
        <v>27</v>
      </c>
      <c r="F70" s="4" t="n">
        <v>21000</v>
      </c>
      <c r="G70" s="4" t="n">
        <v>10075</v>
      </c>
      <c r="H70" s="3" t="s">
        <v>24</v>
      </c>
      <c r="I70" s="3" t="s">
        <v>28</v>
      </c>
    </row>
    <row r="71" customFormat="false" ht="15" hidden="false" customHeight="false" outlineLevel="0" collapsed="false">
      <c r="A71" s="2" t="s">
        <v>64</v>
      </c>
      <c r="B71" s="3" t="s">
        <v>34</v>
      </c>
      <c r="C71" s="2" t="s">
        <v>35</v>
      </c>
      <c r="D71" s="3" t="s">
        <v>12</v>
      </c>
      <c r="E71" s="3" t="s">
        <v>13</v>
      </c>
      <c r="F71" s="4" t="n">
        <v>13000</v>
      </c>
      <c r="G71" s="4" t="n">
        <v>13173</v>
      </c>
      <c r="H71" s="3" t="s">
        <v>14</v>
      </c>
      <c r="I71" s="3" t="s">
        <v>15</v>
      </c>
    </row>
    <row r="72" customFormat="false" ht="15" hidden="false" customHeight="false" outlineLevel="0" collapsed="false">
      <c r="A72" s="2" t="s">
        <v>64</v>
      </c>
      <c r="B72" s="3" t="s">
        <v>34</v>
      </c>
      <c r="C72" s="2" t="s">
        <v>35</v>
      </c>
      <c r="D72" s="3" t="s">
        <v>32</v>
      </c>
      <c r="E72" s="3" t="s">
        <v>13</v>
      </c>
      <c r="F72" s="4" t="n">
        <v>11000</v>
      </c>
      <c r="G72" s="4" t="n">
        <v>10271</v>
      </c>
      <c r="H72" s="3" t="s">
        <v>14</v>
      </c>
      <c r="I72" s="3" t="s">
        <v>33</v>
      </c>
    </row>
    <row r="73" customFormat="false" ht="15" hidden="false" customHeight="false" outlineLevel="0" collapsed="false">
      <c r="A73" s="2" t="s">
        <v>64</v>
      </c>
      <c r="B73" s="3" t="s">
        <v>20</v>
      </c>
      <c r="C73" s="2" t="s">
        <v>21</v>
      </c>
      <c r="D73" s="3" t="s">
        <v>22</v>
      </c>
      <c r="E73" s="3" t="s">
        <v>23</v>
      </c>
      <c r="F73" s="4" t="n">
        <v>17000</v>
      </c>
      <c r="G73" s="4" t="n">
        <v>60521</v>
      </c>
      <c r="H73" s="3" t="s">
        <v>14</v>
      </c>
      <c r="I73" s="3" t="s">
        <v>25</v>
      </c>
    </row>
    <row r="74" customFormat="false" ht="15" hidden="false" customHeight="false" outlineLevel="0" collapsed="false">
      <c r="E74" s="5" t="s">
        <v>65</v>
      </c>
      <c r="F74" s="6" t="n">
        <f aca="false">SUM(F2:F73)</f>
        <v>1218000</v>
      </c>
      <c r="G74" s="6" t="n">
        <f aca="false">SUM(G2:G73)</f>
        <v>3445601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3</v>
      </c>
      <c r="B1" s="1" t="s">
        <v>66</v>
      </c>
      <c r="C1" s="1" t="s">
        <v>67</v>
      </c>
      <c r="D1" s="1" t="s">
        <v>68</v>
      </c>
    </row>
    <row r="2" customFormat="false" ht="15" hidden="false" customHeight="false" outlineLevel="0" collapsed="false">
      <c r="A2" s="3" t="s">
        <v>22</v>
      </c>
      <c r="B2" s="4" t="n">
        <f aca="false">SUMIF(ข้อมูลส่งออก!$D$2:$D$73,A2,ข้อมูลส่งออก!$G$2:$G$73)</f>
        <v>483454</v>
      </c>
      <c r="C2" s="2" t="n">
        <f aca="false">COUNTIF(ข้อมูลส่งออก!$D$2:$D$73,A2)</f>
        <v>9</v>
      </c>
      <c r="D2" s="7" t="n">
        <f aca="false">B2/$B$12</f>
        <v>0.140310500258155</v>
      </c>
    </row>
    <row r="3" customFormat="false" ht="15" hidden="false" customHeight="false" outlineLevel="0" collapsed="false">
      <c r="A3" s="3" t="s">
        <v>37</v>
      </c>
      <c r="B3" s="4" t="n">
        <f aca="false">SUMIF(ข้อมูลส่งออก!$D$2:$D$73,A3,ข้อมูลส่งออก!$G$2:$G$73)</f>
        <v>620636</v>
      </c>
      <c r="C3" s="2" t="n">
        <f aca="false">COUNTIF(ข้อมูลส่งออก!$D$2:$D$73,A3)</f>
        <v>7</v>
      </c>
      <c r="D3" s="7" t="n">
        <f aca="false">B3/$B$12</f>
        <v>0.180124164115346</v>
      </c>
    </row>
    <row r="4" customFormat="false" ht="15" hidden="false" customHeight="false" outlineLevel="0" collapsed="false">
      <c r="A4" s="3" t="s">
        <v>12</v>
      </c>
      <c r="B4" s="4" t="n">
        <f aca="false">SUMIF(ข้อมูลส่งออก!$D$2:$D$73,A4,ข้อมูลส่งออก!$G$2:$G$73)</f>
        <v>604891</v>
      </c>
      <c r="C4" s="2" t="n">
        <f aca="false">COUNTIF(ข้อมูลส่งออก!$D$2:$D$73,A4)</f>
        <v>9</v>
      </c>
      <c r="D4" s="7" t="n">
        <f aca="false">B4/$B$12</f>
        <v>0.175554569435056</v>
      </c>
    </row>
    <row r="5" customFormat="false" ht="15" hidden="false" customHeight="false" outlineLevel="0" collapsed="false">
      <c r="A5" s="3" t="s">
        <v>41</v>
      </c>
      <c r="B5" s="4" t="n">
        <f aca="false">SUMIF(ข้อมูลส่งออก!$D$2:$D$73,A5,ข้อมูลส่งออก!$G$2:$G$73)</f>
        <v>329096</v>
      </c>
      <c r="C5" s="2" t="n">
        <f aca="false">COUNTIF(ข้อมูลส่งออก!$D$2:$D$73,A5)</f>
        <v>9</v>
      </c>
      <c r="D5" s="7" t="n">
        <f aca="false">B5/$B$12</f>
        <v>0.0955119295588781</v>
      </c>
    </row>
    <row r="6" customFormat="false" ht="15" hidden="false" customHeight="false" outlineLevel="0" collapsed="false">
      <c r="A6" s="3" t="s">
        <v>47</v>
      </c>
      <c r="B6" s="4" t="n">
        <f aca="false">SUMIF(ข้อมูลส่งออก!$D$2:$D$73,A6,ข้อมูลส่งออก!$G$2:$G$73)</f>
        <v>251873</v>
      </c>
      <c r="C6" s="2" t="n">
        <f aca="false">COUNTIF(ข้อมูลส่งออก!$D$2:$D$73,A6)</f>
        <v>4</v>
      </c>
      <c r="D6" s="7" t="n">
        <f aca="false">B6/$B$12</f>
        <v>0.073099874303496</v>
      </c>
    </row>
    <row r="7" customFormat="false" ht="15" hidden="false" customHeight="false" outlineLevel="0" collapsed="false">
      <c r="A7" s="3" t="s">
        <v>44</v>
      </c>
      <c r="B7" s="4" t="n">
        <f aca="false">SUMIF(ข้อมูลส่งออก!$D$2:$D$73,A7,ข้อมูลส่งออก!$G$2:$G$73)</f>
        <v>206537</v>
      </c>
      <c r="C7" s="2" t="n">
        <f aca="false">COUNTIF(ข้อมูลส่งออก!$D$2:$D$73,A7)</f>
        <v>9</v>
      </c>
      <c r="D7" s="7" t="n">
        <f aca="false">B7/$B$12</f>
        <v>0.0599422277855155</v>
      </c>
    </row>
    <row r="8" customFormat="false" ht="15" hidden="false" customHeight="false" outlineLevel="0" collapsed="false">
      <c r="A8" s="3" t="s">
        <v>16</v>
      </c>
      <c r="B8" s="4" t="n">
        <f aca="false">SUMIF(ข้อมูลส่งออก!$D$2:$D$73,A8,ข้อมูลส่งออก!$G$2:$G$73)</f>
        <v>291916</v>
      </c>
      <c r="C8" s="2" t="n">
        <f aca="false">COUNTIF(ข้อมูลส่งออก!$D$2:$D$73,A8)</f>
        <v>5</v>
      </c>
      <c r="D8" s="7" t="n">
        <f aca="false">B8/$B$12</f>
        <v>0.0847213592055493</v>
      </c>
    </row>
    <row r="9" customFormat="false" ht="15" hidden="false" customHeight="false" outlineLevel="0" collapsed="false">
      <c r="A9" s="3" t="s">
        <v>26</v>
      </c>
      <c r="B9" s="4" t="n">
        <f aca="false">SUMIF(ข้อมูลส่งออก!$D$2:$D$73,A9,ข้อมูลส่งออก!$G$2:$G$73)</f>
        <v>219517</v>
      </c>
      <c r="C9" s="2" t="n">
        <f aca="false">COUNTIF(ข้อมูลส่งออก!$D$2:$D$73,A9)</f>
        <v>8</v>
      </c>
      <c r="D9" s="7" t="n">
        <f aca="false">B9/$B$12</f>
        <v>0.0637093499798729</v>
      </c>
    </row>
    <row r="10" customFormat="false" ht="15" hidden="false" customHeight="false" outlineLevel="0" collapsed="false">
      <c r="A10" s="3" t="s">
        <v>53</v>
      </c>
      <c r="B10" s="4" t="n">
        <f aca="false">SUMIF(ข้อมูลส่งออก!$D$2:$D$73,A10,ข้อมูลส่งออก!$G$2:$G$73)</f>
        <v>212309</v>
      </c>
      <c r="C10" s="2" t="n">
        <f aca="false">COUNTIF(ข้อมูลส่งออก!$D$2:$D$73,A10)</f>
        <v>5</v>
      </c>
      <c r="D10" s="7" t="n">
        <f aca="false">B10/$B$12</f>
        <v>0.0616174072389693</v>
      </c>
    </row>
    <row r="11" customFormat="false" ht="15" hidden="false" customHeight="false" outlineLevel="0" collapsed="false">
      <c r="A11" s="3" t="s">
        <v>32</v>
      </c>
      <c r="B11" s="4" t="n">
        <f aca="false">SUMIF(ข้อมูลส่งออก!$D$2:$D$73,A11,ข้อมูลส่งออก!$G$2:$G$73)</f>
        <v>225372</v>
      </c>
      <c r="C11" s="2" t="n">
        <f aca="false">COUNTIF(ข้อมูลส่งออก!$D$2:$D$73,A11)</f>
        <v>7</v>
      </c>
      <c r="D11" s="7" t="n">
        <f aca="false">B11/$B$12</f>
        <v>0.0654086181191612</v>
      </c>
    </row>
    <row r="12" customFormat="false" ht="15" hidden="false" customHeight="false" outlineLevel="0" collapsed="false">
      <c r="A12" s="5" t="s">
        <v>69</v>
      </c>
      <c r="B12" s="6" t="n">
        <f aca="false">SUM(B2:B11)</f>
        <v>3445601</v>
      </c>
      <c r="C12" s="8" t="n">
        <f aca="false">SUM(C2:C11)</f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4.15" hidden="false" customHeight="false" outlineLevel="0" collapsed="false">
      <c r="A1" s="9" t="s">
        <v>70</v>
      </c>
    </row>
    <row r="2" customFormat="false" ht="15" hidden="false" customHeight="false" outlineLevel="0" collapsed="false">
      <c r="A2" s="10"/>
    </row>
    <row r="3" customFormat="false" ht="12.65" hidden="false" customHeight="false" outlineLevel="0" collapsed="false">
      <c r="A3" s="10" t="s">
        <v>71</v>
      </c>
    </row>
    <row r="4" customFormat="false" ht="12.65" hidden="false" customHeight="false" outlineLevel="0" collapsed="false">
      <c r="A4" s="10" t="s">
        <v>72</v>
      </c>
    </row>
    <row r="5" customFormat="false" ht="12.65" hidden="false" customHeight="false" outlineLevel="0" collapsed="false">
      <c r="A5" s="10" t="s">
        <v>73</v>
      </c>
    </row>
    <row r="6" customFormat="false" ht="12.65" hidden="false" customHeight="false" outlineLevel="0" collapsed="false">
      <c r="A6" s="10" t="s">
        <v>74</v>
      </c>
    </row>
    <row r="7" customFormat="false" ht="12.65" hidden="false" customHeight="false" outlineLevel="0" collapsed="false">
      <c r="A7" s="10" t="s">
        <v>75</v>
      </c>
    </row>
    <row r="8" customFormat="false" ht="15" hidden="false" customHeight="false" outlineLevel="0" collapsed="false">
      <c r="A8" s="10"/>
    </row>
    <row r="9" customFormat="false" ht="12.65" hidden="false" customHeight="false" outlineLevel="0" collapsed="false">
      <c r="A9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2026-06-20T02:49:13Z</dcterms:created>
  <dc:creator>openpyxl</dc:creator>
  <dc:description/>
  <dc:language>en-US</dc:language>
  <cp:lastModifiedBy/>
  <dcterms:modified xsi:type="dcterms:W3CDTF">2026-06-20T02:49:13Z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